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GIT\DO\ohipy\js\"/>
    </mc:Choice>
  </mc:AlternateContent>
  <xr:revisionPtr revIDLastSave="0" documentId="13_ncr:1_{65E9DD34-AEC2-4EF2-8F01-727FD46F43FB}" xr6:coauthVersionLast="47" xr6:coauthVersionMax="47" xr10:uidLastSave="{00000000-0000-0000-0000-000000000000}"/>
  <bookViews>
    <workbookView xWindow="-28920" yWindow="-120" windowWidth="29040" windowHeight="15720" xr2:uid="{98DF4A4F-FF64-4601-AE80-189BCF2A1F8B}"/>
  </bookViews>
  <sheets>
    <sheet name="sample-data" sheetId="1" r:id="rId1"/>
    <sheet name="weigh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3" i="1" a="1"/>
  <c r="M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3" i="1" a="1"/>
  <c r="L3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3" i="1" a="1"/>
  <c r="K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3" i="1" a="1"/>
  <c r="J3" i="1" s="1"/>
  <c r="C11" i="1" l="1" a="1"/>
  <c r="C11" i="1" s="1"/>
  <c r="C10" i="1" a="1"/>
  <c r="C10" i="1" s="1"/>
  <c r="C9" i="1" a="1"/>
  <c r="C9" i="1" s="1"/>
  <c r="C3" i="1" a="1"/>
  <c r="C3" i="1" s="1"/>
  <c r="C12" i="1" a="1"/>
  <c r="C12" i="1" s="1"/>
  <c r="C8" i="1" a="1"/>
  <c r="C8" i="1" s="1"/>
  <c r="C7" i="1" a="1"/>
  <c r="C7" i="1" s="1"/>
  <c r="C6" i="1" a="1"/>
  <c r="C6" i="1" s="1"/>
  <c r="C5" i="1" a="1"/>
  <c r="C5" i="1" s="1"/>
  <c r="C4" i="1" a="1"/>
  <c r="C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tc={997A337E-B94A-4917-84D0-82F18D97B2E2}</author>
  </authors>
  <commentList>
    <comment ref="C2" authorId="0" shapeId="0" xr:uid="{997A337E-B94A-4917-84D0-82F18D97B2E2}">
      <text>
        <t>[Threaded comment]
Your version of Excel allows you to read this threaded comment; however, any edits to it will get removed if the file is opened in a newer version of Excel. Learn more: https://go.microsoft.com/fwlink/?linkid=870924
Comment:
    Valor según los pesos modificados en la segunda hoja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<sst xmlns="http://schemas.openxmlformats.org/spreadsheetml/2006/main" count="56" uniqueCount="29">
  <si>
    <t>year</t>
  </si>
  <si>
    <t>region_id</t>
  </si>
  <si>
    <t>AO</t>
  </si>
  <si>
    <t>BD</t>
  </si>
  <si>
    <t>CP</t>
  </si>
  <si>
    <t>CS</t>
  </si>
  <si>
    <t>CW</t>
  </si>
  <si>
    <t>ECO</t>
  </si>
  <si>
    <t>FIS</t>
  </si>
  <si>
    <t>FP</t>
  </si>
  <si>
    <t>HAB</t>
  </si>
  <si>
    <t>ICO</t>
  </si>
  <si>
    <t>LE</t>
  </si>
  <si>
    <t>LIV</t>
  </si>
  <si>
    <t>LSP</t>
  </si>
  <si>
    <t>MAR</t>
  </si>
  <si>
    <t>NP</t>
  </si>
  <si>
    <t>SP</t>
  </si>
  <si>
    <t>SPP</t>
  </si>
  <si>
    <t>TR</t>
  </si>
  <si>
    <t>01101</t>
  </si>
  <si>
    <t>01404</t>
  </si>
  <si>
    <t>02101</t>
  </si>
  <si>
    <t>02102</t>
  </si>
  <si>
    <t>02104</t>
  </si>
  <si>
    <t>Index</t>
  </si>
  <si>
    <t>Goals</t>
  </si>
  <si>
    <t>Original goals</t>
  </si>
  <si>
    <t>Subgoals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</si>
</sst>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8">
    <xf numFmtId="0" fontId="0" fillId="0" borderId="0" xfId="0"/>
    <xf numFmtId="0" fontId="0" fillId="0" borderId="0" xfId="0" quotePrefix="1"/>
    <xf numFmtId="0" fontId="16" fillId="0" borderId="0" xfId="0" applyFont="1"/>
    <xf numFmtId="0" fontId="16" fillId="33" borderId="0" xfId="0" applyFont="1" applyFill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6" fillId="35" borderId="0" xfId="0" applyFont="1" applyFill="1"/>
    <xf numFmtId="0" fontId="0" fillId="35" borderId="0" xfId="0" applyFill="1"/>
    <xf numFmtId="0" fontId="16" fillId="36" borderId="0" xfId="0" applyFont="1" applyFill="1"/>
    <xf numFmtId="0" fontId="0" fillId="36" borderId="0" xfId="0" applyFill="1"/>
    <xf numFmtId="0" fontId="16" fillId="37" borderId="0" xfId="0" applyFont="1" applyFill="1"/>
    <xf numFmtId="0" fontId="0" fillId="37" borderId="0" xfId="0" applyFill="1"/>
    <xf numFmtId="0" fontId="16" fillId="38" borderId="0" xfId="0" applyFont="1" applyFill="1"/>
    <xf numFmtId="0" fontId="0" fillId="38" borderId="0" xfId="0" applyFill="1"/>
    <xf numFmtId="0" fontId="0" fillId="33" borderId="13" xfId="0" applyFill="1" applyBorder="1"/>
    <xf numFmtId="0" fontId="0" fillId="38" borderId="14" xfId="0" applyFill="1" applyBorder="1"/>
    <xf numFmtId="0" fontId="0" fillId="33" borderId="15" xfId="0" applyFill="1" applyBorder="1"/>
    <xf numFmtId="0" fontId="0" fillId="33" borderId="16" xfId="0" applyFill="1" applyBorder="1"/>
    <xf numFmtId="0" fontId="0" fillId="35" borderId="16" xfId="0" applyFill="1" applyBorder="1"/>
    <xf numFmtId="0" fontId="0" fillId="36" borderId="16" xfId="0" applyFill="1" applyBorder="1"/>
    <xf numFmtId="0" fontId="0" fillId="37" borderId="16" xfId="0" applyFill="1" applyBorder="1"/>
    <xf numFmtId="0" fontId="0" fillId="38" borderId="17" xfId="0" applyFill="1" applyBorder="1"/>
    <xf numFmtId="0" fontId="0" fillId="35" borderId="13" xfId="0" applyFill="1" applyBorder="1"/>
    <xf numFmtId="0" fontId="0" fillId="35" borderId="15" xfId="0" applyFill="1" applyBorder="1"/>
    <xf numFmtId="0" fontId="0" fillId="38" borderId="16" xfId="0" applyFill="1" applyBorder="1"/>
    <xf numFmtId="2" fontId="0" fillId="34" borderId="0" xfId="0" applyNumberFormat="1" applyFill="1"/>
    <xf numFmtId="0" fontId="16" fillId="33" borderId="10" xfId="0" applyFont="1" applyFill="1" applyBorder="1"/>
    <xf numFmtId="0" fontId="16" fillId="33" borderId="11" xfId="0" applyFont="1" applyFill="1" applyBorder="1"/>
    <xf numFmtId="0" fontId="16" fillId="35" borderId="11" xfId="0" applyFont="1" applyFill="1" applyBorder="1"/>
    <xf numFmtId="0" fontId="16" fillId="36" borderId="11" xfId="0" applyFont="1" applyFill="1" applyBorder="1"/>
    <xf numFmtId="0" fontId="16" fillId="37" borderId="11" xfId="0" applyFont="1" applyFill="1" applyBorder="1"/>
    <xf numFmtId="0" fontId="16" fillId="38" borderId="12" xfId="0" applyFont="1" applyFill="1" applyBorder="1"/>
    <xf numFmtId="0" fontId="16" fillId="35" borderId="10" xfId="0" applyFont="1" applyFill="1" applyBorder="1"/>
    <xf numFmtId="0" fontId="16" fillId="38" borderId="11" xfId="0" applyFont="1" applyFill="1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Álvaro Paredes L." id="{2EE8A4D8-B23C-4D31-AA1A-5E6939051BDF}" userId="Álvaro Paredes L.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6-03-29T20:35:23.61" personId="{2EE8A4D8-B23C-4D31-AA1A-5E6939051BDF}" id="{997A337E-B94A-4917-84D0-82F18D97B2E2}">
    <text>Valor según los pesos modificados en la segunda hoja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6483-A77B-48B0-8CC1-C64D98D8B7BA}">
  <dimension ref="A1:Y12"/>
  <sheetViews>
    <sheetView tabSelected="1" workbookViewId="0">
      <selection activeCell="H18" sqref="H18"/>
    </sheetView>
  </sheetViews>
  <sheetFormatPr defaultRowHeight="15" x14ac:dyDescent="0.25"/>
  <sheetData>
    <row r="1" spans="1:25" x14ac:dyDescent="0.25">
      <c r="C1" s="6"/>
      <c r="D1" s="35" t="s">
        <v>26</v>
      </c>
      <c r="E1" s="36"/>
      <c r="F1" s="36"/>
      <c r="G1" s="36"/>
      <c r="H1" s="36"/>
      <c r="I1" s="36"/>
      <c r="J1" s="36"/>
      <c r="K1" s="36"/>
      <c r="L1" s="36"/>
      <c r="M1" s="37"/>
      <c r="N1" s="35" t="s">
        <v>27</v>
      </c>
      <c r="O1" s="36"/>
      <c r="P1" s="36"/>
      <c r="Q1" s="37"/>
      <c r="R1" s="35" t="s">
        <v>28</v>
      </c>
      <c r="S1" s="36"/>
      <c r="T1" s="36"/>
      <c r="U1" s="36"/>
      <c r="V1" s="36"/>
      <c r="W1" s="36"/>
      <c r="X1" s="36"/>
      <c r="Y1" s="37"/>
    </row>
    <row r="2" spans="1:25" s="2" customFormat="1" x14ac:dyDescent="0.25">
      <c r="A2" s="2" t="s">
        <v>0</v>
      </c>
      <c r="B2" s="2" t="s">
        <v>1</v>
      </c>
      <c r="C2" s="5" t="s">
        <v>25</v>
      </c>
      <c r="D2" s="27" t="s">
        <v>2</v>
      </c>
      <c r="E2" s="28" t="s">
        <v>4</v>
      </c>
      <c r="F2" s="28" t="s">
        <v>5</v>
      </c>
      <c r="G2" s="28" t="s">
        <v>6</v>
      </c>
      <c r="H2" s="28" t="s">
        <v>16</v>
      </c>
      <c r="I2" s="28" t="s">
        <v>19</v>
      </c>
      <c r="J2" s="29" t="s">
        <v>9</v>
      </c>
      <c r="K2" s="30" t="s">
        <v>12</v>
      </c>
      <c r="L2" s="31" t="s">
        <v>17</v>
      </c>
      <c r="M2" s="32" t="s">
        <v>3</v>
      </c>
      <c r="N2" s="33" t="s">
        <v>9</v>
      </c>
      <c r="O2" s="30" t="s">
        <v>12</v>
      </c>
      <c r="P2" s="31" t="s">
        <v>17</v>
      </c>
      <c r="Q2" s="32" t="s">
        <v>3</v>
      </c>
      <c r="R2" s="33" t="s">
        <v>8</v>
      </c>
      <c r="S2" s="29" t="s">
        <v>15</v>
      </c>
      <c r="T2" s="30" t="s">
        <v>13</v>
      </c>
      <c r="U2" s="30" t="s">
        <v>7</v>
      </c>
      <c r="V2" s="31" t="s">
        <v>11</v>
      </c>
      <c r="W2" s="31" t="s">
        <v>14</v>
      </c>
      <c r="X2" s="34" t="s">
        <v>10</v>
      </c>
      <c r="Y2" s="32" t="s">
        <v>18</v>
      </c>
    </row>
    <row r="3" spans="1:25" x14ac:dyDescent="0.25">
      <c r="A3">
        <v>2022</v>
      </c>
      <c r="B3" s="1" t="s">
        <v>20</v>
      </c>
      <c r="C3" s="26" cm="1">
        <f t="array" ref="C3">(SUMPRODUCT(D3:M3,weights!$A$2:$J$2))/SUM(weights!$A$2:$J$2 * ISNUMBER(D3:M3))</f>
        <v>46.968120300751877</v>
      </c>
      <c r="D3" s="15">
        <v>66.760000000000005</v>
      </c>
      <c r="E3" s="4">
        <v>100</v>
      </c>
      <c r="F3" s="4">
        <v>72.53</v>
      </c>
      <c r="G3" s="4">
        <v>41.37</v>
      </c>
      <c r="H3" s="4">
        <v>30.58</v>
      </c>
      <c r="I3" s="4">
        <v>16.14</v>
      </c>
      <c r="J3" s="8" cm="1">
        <f t="array" ref="J3">IFERROR(SUMPRODUCT(R3:S3,weights!$K$2:$L$2)/SUM(weights!$K$2:$L$2 * ISNUMBER(R3:S3)), "")</f>
        <v>85.714285714285708</v>
      </c>
      <c r="K3" s="10" cm="1">
        <f t="array" ref="K3">IFERROR(SUMPRODUCT(T3:U3,weights!$M$2:$N$2)/SUM(weights!$M$2:$N$2 * ISNUMBER(T3:U3)), "")</f>
        <v>100</v>
      </c>
      <c r="L3" s="12" cm="1">
        <f t="array" ref="L3">IFERROR(SUMPRODUCT(V3:W3,weights!$O$2:$P$2)/SUM(weights!$O$2:$P$2 * ISNUMBER(V3:W3)), "")</f>
        <v>48.519999999999996</v>
      </c>
      <c r="M3" s="16" cm="1">
        <f t="array" ref="M3">IFERROR(SUMPRODUCT(X3:Y3,weights!$Q$2:$R$2)/SUM(weights!$Q$2:$R$2 * ISNUMBER(X3:Y3)), "")</f>
        <v>55.56</v>
      </c>
      <c r="N3" s="23">
        <v>100</v>
      </c>
      <c r="O3" s="10">
        <v>66.459999999999994</v>
      </c>
      <c r="P3" s="12">
        <v>43.24</v>
      </c>
      <c r="Q3" s="16">
        <v>65.37</v>
      </c>
      <c r="R3" s="23">
        <v>100</v>
      </c>
      <c r="S3" s="8">
        <v>0</v>
      </c>
      <c r="T3" s="10">
        <v>100</v>
      </c>
      <c r="U3" s="10">
        <v>100</v>
      </c>
      <c r="V3" s="12">
        <v>72.25</v>
      </c>
      <c r="W3" s="12">
        <v>24.79</v>
      </c>
      <c r="X3" s="14">
        <v>19.059999999999999</v>
      </c>
      <c r="Y3" s="16">
        <v>92.06</v>
      </c>
    </row>
    <row r="4" spans="1:25" x14ac:dyDescent="0.25">
      <c r="A4">
        <v>2022</v>
      </c>
      <c r="B4" s="1" t="s">
        <v>21</v>
      </c>
      <c r="C4" s="26" cm="1">
        <f t="array" ref="C4">(SUMPRODUCT(D4:M4,weights!$A$2:$J$2))/SUM(weights!$A$2:$J$2 * ISNUMBER(D4:M4))</f>
        <v>66.908611111111114</v>
      </c>
      <c r="D4" s="15">
        <v>40.299999999999997</v>
      </c>
      <c r="E4" s="4">
        <v>100</v>
      </c>
      <c r="F4" s="4">
        <v>50.08</v>
      </c>
      <c r="G4" s="4">
        <v>37.14</v>
      </c>
      <c r="H4" s="4">
        <v>79.78</v>
      </c>
      <c r="I4" s="4">
        <v>21.68</v>
      </c>
      <c r="J4" s="8" cm="1">
        <f t="array" ref="J4">IFERROR(SUMPRODUCT(R4:S4,weights!$K$2:$L$2)/SUM(weights!$K$2:$L$2 * ISNUMBER(R4:S4)), "")</f>
        <v>33.380000000000003</v>
      </c>
      <c r="K4" s="10" t="str" cm="1">
        <f t="array" ref="K4">IFERROR(SUMPRODUCT(T4:U4,weights!$M$2:$N$2)/SUM(weights!$M$2:$N$2 * ISNUMBER(T4:U4)), "")</f>
        <v/>
      </c>
      <c r="L4" s="12" cm="1">
        <f t="array" ref="L4">IFERROR(SUMPRODUCT(V4:W4,weights!$O$2:$P$2)/SUM(weights!$O$2:$P$2 * ISNUMBER(V4:W4)), "")</f>
        <v>55.04</v>
      </c>
      <c r="M4" s="16" cm="1">
        <f t="array" ref="M4">IFERROR(SUMPRODUCT(X4:Y4,weights!$Q$2:$R$2)/SUM(weights!$Q$2:$R$2 * ISNUMBER(X4:Y4)), "")</f>
        <v>68.935000000000002</v>
      </c>
      <c r="N4" s="23">
        <v>49.06</v>
      </c>
      <c r="O4" s="10"/>
      <c r="P4" s="12">
        <v>46.56</v>
      </c>
      <c r="Q4" s="16">
        <v>64.08</v>
      </c>
      <c r="R4" s="23">
        <v>33.380000000000003</v>
      </c>
      <c r="S4" s="8"/>
      <c r="T4" s="10"/>
      <c r="U4" s="10"/>
      <c r="V4" s="12">
        <v>76.77</v>
      </c>
      <c r="W4" s="12">
        <v>33.31</v>
      </c>
      <c r="X4" s="14">
        <v>58.95</v>
      </c>
      <c r="Y4" s="16">
        <v>78.92</v>
      </c>
    </row>
    <row r="5" spans="1:25" x14ac:dyDescent="0.25">
      <c r="A5">
        <v>2022</v>
      </c>
      <c r="B5" s="1" t="s">
        <v>22</v>
      </c>
      <c r="C5" s="26" cm="1">
        <f t="array" ref="C5">(SUMPRODUCT(D5:M5,weights!$A$2:$J$2))/SUM(weights!$A$2:$J$2 * ISNUMBER(D5:M5))</f>
        <v>52.693195488721813</v>
      </c>
      <c r="D5" s="15">
        <v>29.25</v>
      </c>
      <c r="E5" s="4">
        <v>100</v>
      </c>
      <c r="F5" s="4">
        <v>74.540000000000006</v>
      </c>
      <c r="G5" s="4">
        <v>28.57</v>
      </c>
      <c r="H5" s="4">
        <v>41.28</v>
      </c>
      <c r="I5" s="4">
        <v>81.27</v>
      </c>
      <c r="J5" s="8" cm="1">
        <f t="array" ref="J5">IFERROR(SUMPRODUCT(R5:S5,weights!$K$2:$L$2)/SUM(weights!$K$2:$L$2 * ISNUMBER(R5:S5)), "")</f>
        <v>80.805714285714288</v>
      </c>
      <c r="K5" s="10" cm="1">
        <f t="array" ref="K5">IFERROR(SUMPRODUCT(T5:U5,weights!$M$2:$N$2)/SUM(weights!$M$2:$N$2 * ISNUMBER(T5:U5)), "")</f>
        <v>75.47</v>
      </c>
      <c r="L5" s="12" cm="1">
        <f t="array" ref="L5">IFERROR(SUMPRODUCT(V5:W5,weights!$O$2:$P$2)/SUM(weights!$O$2:$P$2 * ISNUMBER(V5:W5)), "")</f>
        <v>67.625</v>
      </c>
      <c r="M5" s="16" cm="1">
        <f t="array" ref="M5">IFERROR(SUMPRODUCT(X5:Y5,weights!$Q$2:$R$2)/SUM(weights!$Q$2:$R$2 * ISNUMBER(X5:Y5)), "")</f>
        <v>50.84</v>
      </c>
      <c r="N5" s="23">
        <v>90.71</v>
      </c>
      <c r="O5" s="10">
        <v>100</v>
      </c>
      <c r="P5" s="12">
        <v>41.53</v>
      </c>
      <c r="Q5" s="16">
        <v>73.739999999999995</v>
      </c>
      <c r="R5" s="23">
        <v>85.94</v>
      </c>
      <c r="S5" s="8">
        <v>50</v>
      </c>
      <c r="T5" s="10">
        <v>69.8</v>
      </c>
      <c r="U5" s="10">
        <v>81.14</v>
      </c>
      <c r="V5" s="12">
        <v>66.14</v>
      </c>
      <c r="W5" s="12">
        <v>69.11</v>
      </c>
      <c r="X5" s="14">
        <v>16.670000000000002</v>
      </c>
      <c r="Y5" s="16">
        <v>85.01</v>
      </c>
    </row>
    <row r="6" spans="1:25" x14ac:dyDescent="0.25">
      <c r="A6">
        <v>2022</v>
      </c>
      <c r="B6" s="1" t="s">
        <v>23</v>
      </c>
      <c r="C6" s="26" cm="1">
        <f t="array" ref="C6">(SUMPRODUCT(D6:M6,weights!$A$2:$J$2))/SUM(weights!$A$2:$J$2 * ISNUMBER(D6:M6))</f>
        <v>25.812105263157893</v>
      </c>
      <c r="D6" s="15">
        <v>33.54</v>
      </c>
      <c r="E6" s="4">
        <v>100</v>
      </c>
      <c r="F6" s="4">
        <v>71.81</v>
      </c>
      <c r="G6" s="4">
        <v>82.24</v>
      </c>
      <c r="H6" s="4">
        <v>0</v>
      </c>
      <c r="I6" s="4">
        <v>16.86</v>
      </c>
      <c r="J6" s="8" cm="1">
        <f t="array" ref="J6">IFERROR(SUMPRODUCT(R6:S6,weights!$K$2:$L$2)/SUM(weights!$K$2:$L$2 * ISNUMBER(R6:S6)), "")</f>
        <v>75.39</v>
      </c>
      <c r="K6" s="10" cm="1">
        <f t="array" ref="K6">IFERROR(SUMPRODUCT(T6:U6,weights!$M$2:$N$2)/SUM(weights!$M$2:$N$2 * ISNUMBER(T6:U6)), "")</f>
        <v>5.8849999999999998</v>
      </c>
      <c r="L6" s="12" cm="1">
        <f t="array" ref="L6">IFERROR(SUMPRODUCT(V6:W6,weights!$O$2:$P$2)/SUM(weights!$O$2:$P$2 * ISNUMBER(V6:W6)), "")</f>
        <v>41.56</v>
      </c>
      <c r="M6" s="16" cm="1">
        <f t="array" ref="M6">IFERROR(SUMPRODUCT(X6:Y6,weights!$Q$2:$R$2)/SUM(weights!$Q$2:$R$2 * ISNUMBER(X6:Y6)), "")</f>
        <v>63.144999999999996</v>
      </c>
      <c r="N6" s="23">
        <v>77.180000000000007</v>
      </c>
      <c r="O6" s="10">
        <v>47.35</v>
      </c>
      <c r="P6" s="12">
        <v>65.180000000000007</v>
      </c>
      <c r="Q6" s="16">
        <v>73.239999999999995</v>
      </c>
      <c r="R6" s="23">
        <v>75.39</v>
      </c>
      <c r="S6" s="8"/>
      <c r="T6" s="10">
        <v>11.77</v>
      </c>
      <c r="U6" s="10">
        <v>0</v>
      </c>
      <c r="V6" s="12">
        <v>58.02</v>
      </c>
      <c r="W6" s="12">
        <v>25.1</v>
      </c>
      <c r="X6" s="14">
        <v>37.880000000000003</v>
      </c>
      <c r="Y6" s="16">
        <v>88.41</v>
      </c>
    </row>
    <row r="7" spans="1:25" x14ac:dyDescent="0.25">
      <c r="A7">
        <v>2022</v>
      </c>
      <c r="B7" s="1" t="s">
        <v>24</v>
      </c>
      <c r="C7" s="26" cm="1">
        <f t="array" ref="C7">(SUMPRODUCT(D7:M7,weights!$A$2:$J$2))/SUM(weights!$A$2:$J$2 * ISNUMBER(D7:M7))</f>
        <v>24.740676691729323</v>
      </c>
      <c r="D7" s="15">
        <v>0</v>
      </c>
      <c r="E7" s="4">
        <v>80.790000000000006</v>
      </c>
      <c r="F7" s="4">
        <v>46.2</v>
      </c>
      <c r="G7" s="4">
        <v>61.15</v>
      </c>
      <c r="H7" s="4">
        <v>0</v>
      </c>
      <c r="I7" s="4">
        <v>23.9</v>
      </c>
      <c r="J7" s="8" cm="1">
        <f t="array" ref="J7">IFERROR(SUMPRODUCT(R7:S7,weights!$K$2:$L$2)/SUM(weights!$K$2:$L$2 * ISNUMBER(R7:S7)), "")</f>
        <v>69.42285714285714</v>
      </c>
      <c r="K7" s="10" cm="1">
        <f t="array" ref="K7">IFERROR(SUMPRODUCT(T7:U7,weights!$M$2:$N$2)/SUM(weights!$M$2:$N$2 * ISNUMBER(T7:U7)), "")</f>
        <v>49.875</v>
      </c>
      <c r="L7" s="12" cm="1">
        <f t="array" ref="L7">IFERROR(SUMPRODUCT(V7:W7,weights!$O$2:$P$2)/SUM(weights!$O$2:$P$2 * ISNUMBER(V7:W7)), "")</f>
        <v>60.174999999999997</v>
      </c>
      <c r="M7" s="16" cm="1">
        <f t="array" ref="M7">IFERROR(SUMPRODUCT(X7:Y7,weights!$Q$2:$R$2)/SUM(weights!$Q$2:$R$2 * ISNUMBER(X7:Y7)), "")</f>
        <v>78.56</v>
      </c>
      <c r="N7" s="23">
        <v>41.82</v>
      </c>
      <c r="O7" s="10">
        <v>27.34</v>
      </c>
      <c r="P7" s="12">
        <v>53.2</v>
      </c>
      <c r="Q7" s="16">
        <v>76.48</v>
      </c>
      <c r="R7" s="23">
        <v>68.17</v>
      </c>
      <c r="S7" s="8">
        <v>76.94</v>
      </c>
      <c r="T7" s="10">
        <v>59.16</v>
      </c>
      <c r="U7" s="10">
        <v>40.590000000000003</v>
      </c>
      <c r="V7" s="12">
        <v>69.72</v>
      </c>
      <c r="W7" s="12">
        <v>50.63</v>
      </c>
      <c r="X7" s="14">
        <v>78</v>
      </c>
      <c r="Y7" s="16">
        <v>79.12</v>
      </c>
    </row>
    <row r="8" spans="1:25" x14ac:dyDescent="0.25">
      <c r="A8">
        <v>2024</v>
      </c>
      <c r="B8" s="1" t="s">
        <v>20</v>
      </c>
      <c r="C8" s="26" cm="1">
        <f t="array" ref="C8">(SUMPRODUCT(D8:M8,weights!$A$2:$J$2))/SUM(weights!$A$2:$J$2 * ISNUMBER(D8:M8))</f>
        <v>62.916879699248128</v>
      </c>
      <c r="D8" s="15">
        <v>59.26</v>
      </c>
      <c r="E8" s="4">
        <v>100</v>
      </c>
      <c r="F8" s="4">
        <v>51.15</v>
      </c>
      <c r="G8" s="4">
        <v>57.14</v>
      </c>
      <c r="H8" s="4">
        <v>62.11</v>
      </c>
      <c r="I8" s="4">
        <v>47.61</v>
      </c>
      <c r="J8" s="8" cm="1">
        <f t="array" ref="J8">IFERROR(SUMPRODUCT(R8:S8,weights!$K$2:$L$2)/SUM(weights!$K$2:$L$2 * ISNUMBER(R8:S8)), "")</f>
        <v>87.935714285714283</v>
      </c>
      <c r="K8" s="10" cm="1">
        <f t="array" ref="K8">IFERROR(SUMPRODUCT(T8:U8,weights!$M$2:$N$2)/SUM(weights!$M$2:$N$2 * ISNUMBER(T8:U8)), "")</f>
        <v>68.825000000000003</v>
      </c>
      <c r="L8" s="12" cm="1">
        <f t="array" ref="L8">IFERROR(SUMPRODUCT(V8:W8,weights!$O$2:$P$2)/SUM(weights!$O$2:$P$2 * ISNUMBER(V8:W8)), "")</f>
        <v>38.104999999999997</v>
      </c>
      <c r="M8" s="16" cm="1">
        <f t="array" ref="M8">IFERROR(SUMPRODUCT(X8:Y8,weights!$Q$2:$R$2)/SUM(weights!$Q$2:$R$2 * ISNUMBER(X8:Y8)), "")</f>
        <v>64.295000000000002</v>
      </c>
      <c r="N8" s="23">
        <v>85.43</v>
      </c>
      <c r="O8" s="10">
        <v>100</v>
      </c>
      <c r="P8" s="12">
        <v>64.13</v>
      </c>
      <c r="Q8" s="16">
        <v>60.3</v>
      </c>
      <c r="R8" s="23">
        <v>100</v>
      </c>
      <c r="S8" s="8">
        <v>15.55</v>
      </c>
      <c r="T8" s="10">
        <v>56.81</v>
      </c>
      <c r="U8" s="10">
        <v>80.84</v>
      </c>
      <c r="V8" s="12">
        <v>68.05</v>
      </c>
      <c r="W8" s="12">
        <v>8.16</v>
      </c>
      <c r="X8" s="14">
        <v>42.9</v>
      </c>
      <c r="Y8" s="16">
        <v>85.69</v>
      </c>
    </row>
    <row r="9" spans="1:25" x14ac:dyDescent="0.25">
      <c r="A9">
        <v>2024</v>
      </c>
      <c r="B9" s="1" t="s">
        <v>21</v>
      </c>
      <c r="C9" s="26" cm="1">
        <f t="array" ref="C9">(SUMPRODUCT(D9:M9,weights!$A$2:$J$2))/SUM(weights!$A$2:$J$2 * ISNUMBER(D9:M9))</f>
        <v>83.431944444444454</v>
      </c>
      <c r="D9" s="15">
        <v>85.64</v>
      </c>
      <c r="E9" s="4">
        <v>100</v>
      </c>
      <c r="F9" s="4">
        <v>60.36</v>
      </c>
      <c r="G9" s="4">
        <v>76.88</v>
      </c>
      <c r="H9" s="4">
        <v>100</v>
      </c>
      <c r="I9" s="4">
        <v>12.65</v>
      </c>
      <c r="J9" s="8" cm="1">
        <f t="array" ref="J9">IFERROR(SUMPRODUCT(R9:S9,weights!$K$2:$L$2)/SUM(weights!$K$2:$L$2 * ISNUMBER(R9:S9)), "")</f>
        <v>65.400000000000006</v>
      </c>
      <c r="K9" s="10" t="str" cm="1">
        <f t="array" ref="K9">IFERROR(SUMPRODUCT(T9:U9,weights!$M$2:$N$2)/SUM(weights!$M$2:$N$2 * ISNUMBER(T9:U9)), "")</f>
        <v/>
      </c>
      <c r="L9" s="12" cm="1">
        <f t="array" ref="L9">IFERROR(SUMPRODUCT(V9:W9,weights!$O$2:$P$2)/SUM(weights!$O$2:$P$2 * ISNUMBER(V9:W9)), "")</f>
        <v>35.339999999999996</v>
      </c>
      <c r="M9" s="16" cm="1">
        <f t="array" ref="M9">IFERROR(SUMPRODUCT(X9:Y9,weights!$Q$2:$R$2)/SUM(weights!$Q$2:$R$2 * ISNUMBER(X9:Y9)), "")</f>
        <v>65.504999999999995</v>
      </c>
      <c r="N9" s="23">
        <v>75.459999999999994</v>
      </c>
      <c r="O9" s="10"/>
      <c r="P9" s="12">
        <v>30.03</v>
      </c>
      <c r="Q9" s="16">
        <v>59.78</v>
      </c>
      <c r="R9" s="23">
        <v>65.400000000000006</v>
      </c>
      <c r="S9" s="8"/>
      <c r="T9" s="10"/>
      <c r="U9" s="10"/>
      <c r="V9" s="12">
        <v>64.3</v>
      </c>
      <c r="W9" s="12">
        <v>6.38</v>
      </c>
      <c r="X9" s="14">
        <v>44.48</v>
      </c>
      <c r="Y9" s="16">
        <v>86.53</v>
      </c>
    </row>
    <row r="10" spans="1:25" x14ac:dyDescent="0.25">
      <c r="A10">
        <v>2024</v>
      </c>
      <c r="B10" s="1" t="s">
        <v>22</v>
      </c>
      <c r="C10" s="26" cm="1">
        <f t="array" ref="C10">(SUMPRODUCT(D10:M10,weights!$A$2:$J$2))/SUM(weights!$A$2:$J$2 * ISNUMBER(D10:M10))</f>
        <v>68.260751879699242</v>
      </c>
      <c r="D10" s="15">
        <v>25.1</v>
      </c>
      <c r="E10" s="4">
        <v>74.67</v>
      </c>
      <c r="F10" s="4">
        <v>29.37</v>
      </c>
      <c r="G10" s="4">
        <v>0</v>
      </c>
      <c r="H10" s="4">
        <v>86.12</v>
      </c>
      <c r="I10" s="4">
        <v>40.57</v>
      </c>
      <c r="J10" s="8" cm="1">
        <f t="array" ref="J10">IFERROR(SUMPRODUCT(R10:S10,weights!$K$2:$L$2)/SUM(weights!$K$2:$L$2 * ISNUMBER(R10:S10)), "")</f>
        <v>53.394285714285715</v>
      </c>
      <c r="K10" s="10" cm="1">
        <f t="array" ref="K10">IFERROR(SUMPRODUCT(T10:U10,weights!$M$2:$N$2)/SUM(weights!$M$2:$N$2 * ISNUMBER(T10:U10)), "")</f>
        <v>100</v>
      </c>
      <c r="L10" s="12" cm="1">
        <f t="array" ref="L10">IFERROR(SUMPRODUCT(V10:W10,weights!$O$2:$P$2)/SUM(weights!$O$2:$P$2 * ISNUMBER(V10:W10)), "")</f>
        <v>46.29</v>
      </c>
      <c r="M10" s="16" cm="1">
        <f t="array" ref="M10">IFERROR(SUMPRODUCT(X10:Y10,weights!$Q$2:$R$2)/SUM(weights!$Q$2:$R$2 * ISNUMBER(X10:Y10)), "")</f>
        <v>66.36</v>
      </c>
      <c r="N10" s="23">
        <v>27.23</v>
      </c>
      <c r="O10" s="10">
        <v>100</v>
      </c>
      <c r="P10" s="12">
        <v>38.14</v>
      </c>
      <c r="Q10" s="16">
        <v>72.66</v>
      </c>
      <c r="R10" s="23">
        <v>50.08</v>
      </c>
      <c r="S10" s="8">
        <v>73.28</v>
      </c>
      <c r="T10" s="10">
        <v>100</v>
      </c>
      <c r="U10" s="10">
        <v>100</v>
      </c>
      <c r="V10" s="12">
        <v>64.75</v>
      </c>
      <c r="W10" s="12">
        <v>27.83</v>
      </c>
      <c r="X10" s="14">
        <v>49.21</v>
      </c>
      <c r="Y10" s="16">
        <v>83.51</v>
      </c>
    </row>
    <row r="11" spans="1:25" x14ac:dyDescent="0.25">
      <c r="A11">
        <v>2024</v>
      </c>
      <c r="B11" s="1" t="s">
        <v>23</v>
      </c>
      <c r="C11" s="26" cm="1">
        <f t="array" ref="C11">(SUMPRODUCT(D11:M11,weights!$A$2:$J$2))/SUM(weights!$A$2:$J$2 * ISNUMBER(D11:M11))</f>
        <v>33.488421052631587</v>
      </c>
      <c r="D11" s="15">
        <v>78.849999999999994</v>
      </c>
      <c r="E11" s="4">
        <v>90.41</v>
      </c>
      <c r="F11" s="4">
        <v>77.73</v>
      </c>
      <c r="G11" s="4">
        <v>90.58</v>
      </c>
      <c r="H11" s="4">
        <v>2.36</v>
      </c>
      <c r="I11" s="4">
        <v>11.68</v>
      </c>
      <c r="J11" s="8" cm="1">
        <f t="array" ref="J11">IFERROR(SUMPRODUCT(R11:S11,weights!$K$2:$L$2)/SUM(weights!$K$2:$L$2 * ISNUMBER(R11:S11)), "")</f>
        <v>88.40000000000002</v>
      </c>
      <c r="K11" s="10" cm="1">
        <f t="array" ref="K11">IFERROR(SUMPRODUCT(T11:U11,weights!$M$2:$N$2)/SUM(weights!$M$2:$N$2 * ISNUMBER(T11:U11)), "")</f>
        <v>43.924999999999997</v>
      </c>
      <c r="L11" s="12" cm="1">
        <f t="array" ref="L11">IFERROR(SUMPRODUCT(V11:W11,weights!$O$2:$P$2)/SUM(weights!$O$2:$P$2 * ISNUMBER(V11:W11)), "")</f>
        <v>63.715000000000003</v>
      </c>
      <c r="M11" s="16" cm="1">
        <f t="array" ref="M11">IFERROR(SUMPRODUCT(X11:Y11,weights!$Q$2:$R$2)/SUM(weights!$Q$2:$R$2 * ISNUMBER(X11:Y11)), "")</f>
        <v>67.39</v>
      </c>
      <c r="N11" s="23">
        <v>100</v>
      </c>
      <c r="O11" s="10">
        <v>0</v>
      </c>
      <c r="P11" s="12">
        <v>39.299999999999997</v>
      </c>
      <c r="Q11" s="16">
        <v>77.599999999999994</v>
      </c>
      <c r="R11" s="23">
        <v>88.4</v>
      </c>
      <c r="S11" s="8"/>
      <c r="T11" s="10">
        <v>28.7</v>
      </c>
      <c r="U11" s="10">
        <v>59.15</v>
      </c>
      <c r="V11" s="12">
        <v>58.01</v>
      </c>
      <c r="W11" s="12">
        <v>69.42</v>
      </c>
      <c r="X11" s="14">
        <v>50.75</v>
      </c>
      <c r="Y11" s="16">
        <v>84.03</v>
      </c>
    </row>
    <row r="12" spans="1:25" x14ac:dyDescent="0.25">
      <c r="A12">
        <v>2024</v>
      </c>
      <c r="B12" s="1" t="s">
        <v>24</v>
      </c>
      <c r="C12" s="26" cm="1">
        <f t="array" ref="C12">(SUMPRODUCT(D12:M12,weights!$A$2:$J$2))/SUM(weights!$A$2:$J$2 * ISNUMBER(D12:M12))</f>
        <v>63.050751879699249</v>
      </c>
      <c r="D12" s="17">
        <v>2.4</v>
      </c>
      <c r="E12" s="18">
        <v>95.37</v>
      </c>
      <c r="F12" s="18">
        <v>30.31</v>
      </c>
      <c r="G12" s="18">
        <v>60.73</v>
      </c>
      <c r="H12" s="18">
        <v>78.680000000000007</v>
      </c>
      <c r="I12" s="18">
        <v>10.57</v>
      </c>
      <c r="J12" s="19" cm="1">
        <f t="array" ref="J12">IFERROR(SUMPRODUCT(R12:S12,weights!$K$2:$L$2)/SUM(weights!$K$2:$L$2 * ISNUMBER(R12:S12)), "")</f>
        <v>45.914285714285711</v>
      </c>
      <c r="K12" s="20" cm="1">
        <f t="array" ref="K12">IFERROR(SUMPRODUCT(T12:U12,weights!$M$2:$N$2)/SUM(weights!$M$2:$N$2 * ISNUMBER(T12:U12)), "")</f>
        <v>22.725000000000001</v>
      </c>
      <c r="L12" s="21" cm="1">
        <f t="array" ref="L12">IFERROR(SUMPRODUCT(V12:W12,weights!$O$2:$P$2)/SUM(weights!$O$2:$P$2 * ISNUMBER(V12:W12)), "")</f>
        <v>65.125</v>
      </c>
      <c r="M12" s="22" cm="1">
        <f t="array" ref="M12">IFERROR(SUMPRODUCT(X12:Y12,weights!$Q$2:$R$2)/SUM(weights!$Q$2:$R$2 * ISNUMBER(X12:Y12)), "")</f>
        <v>78.02000000000001</v>
      </c>
      <c r="N12" s="24">
        <v>80.989999999999995</v>
      </c>
      <c r="O12" s="20">
        <v>6.63</v>
      </c>
      <c r="P12" s="21">
        <v>55.51</v>
      </c>
      <c r="Q12" s="22">
        <v>92.18</v>
      </c>
      <c r="R12" s="24">
        <v>36.9</v>
      </c>
      <c r="S12" s="19">
        <v>100</v>
      </c>
      <c r="T12" s="20">
        <v>25.74</v>
      </c>
      <c r="U12" s="20">
        <v>19.71</v>
      </c>
      <c r="V12" s="21">
        <v>70.78</v>
      </c>
      <c r="W12" s="21">
        <v>59.47</v>
      </c>
      <c r="X12" s="25">
        <v>67.540000000000006</v>
      </c>
      <c r="Y12" s="22">
        <v>88.5</v>
      </c>
    </row>
  </sheetData>
  <mergeCells count="3">
    <mergeCell ref="N1:Q1"/>
    <mergeCell ref="D1:M1"/>
    <mergeCell ref="R1:Y1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986E-BF98-4639-B3E8-7235D911182C}">
  <dimension ref="A1:R2"/>
  <sheetViews>
    <sheetView workbookViewId="0">
      <selection activeCell="E3" sqref="E3"/>
    </sheetView>
  </sheetViews>
  <sheetFormatPr defaultRowHeight="15" x14ac:dyDescent="0.25"/>
  <sheetData>
    <row r="1" spans="1:18" x14ac:dyDescent="0.25">
      <c r="A1" s="3" t="s">
        <v>2</v>
      </c>
      <c r="B1" s="3" t="s">
        <v>4</v>
      </c>
      <c r="C1" s="3" t="s">
        <v>5</v>
      </c>
      <c r="D1" s="3" t="s">
        <v>6</v>
      </c>
      <c r="E1" s="3" t="s">
        <v>16</v>
      </c>
      <c r="F1" s="3" t="s">
        <v>19</v>
      </c>
      <c r="G1" s="7" t="s">
        <v>9</v>
      </c>
      <c r="H1" s="9" t="s">
        <v>12</v>
      </c>
      <c r="I1" s="11" t="s">
        <v>17</v>
      </c>
      <c r="J1" s="13" t="s">
        <v>3</v>
      </c>
      <c r="K1" s="7" t="s">
        <v>8</v>
      </c>
      <c r="L1" s="7" t="s">
        <v>15</v>
      </c>
      <c r="M1" s="9" t="s">
        <v>13</v>
      </c>
      <c r="N1" s="9" t="s">
        <v>7</v>
      </c>
      <c r="O1" s="11" t="s">
        <v>11</v>
      </c>
      <c r="P1" s="11" t="s">
        <v>14</v>
      </c>
      <c r="Q1" s="13" t="s">
        <v>10</v>
      </c>
      <c r="R1" s="13" t="s">
        <v>18</v>
      </c>
    </row>
    <row r="2" spans="1:18" x14ac:dyDescent="0.25">
      <c r="A2" s="4">
        <v>1</v>
      </c>
      <c r="B2" s="4">
        <v>1</v>
      </c>
      <c r="C2" s="4">
        <v>1</v>
      </c>
      <c r="D2" s="4">
        <v>1</v>
      </c>
      <c r="E2" s="4">
        <v>10</v>
      </c>
      <c r="F2" s="4">
        <v>1</v>
      </c>
      <c r="G2" s="8">
        <v>1</v>
      </c>
      <c r="H2" s="10">
        <v>1</v>
      </c>
      <c r="I2" s="12">
        <v>1</v>
      </c>
      <c r="J2" s="14">
        <v>1</v>
      </c>
      <c r="K2" s="8">
        <v>6</v>
      </c>
      <c r="L2" s="8">
        <v>1</v>
      </c>
      <c r="M2" s="10">
        <v>1</v>
      </c>
      <c r="N2" s="10">
        <v>1</v>
      </c>
      <c r="O2" s="12">
        <v>1</v>
      </c>
      <c r="P2" s="12">
        <v>1</v>
      </c>
      <c r="Q2" s="14">
        <v>1</v>
      </c>
      <c r="R2" s="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sample-data</vt:lpstr>
      <vt:lpstr>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Álvaro Paredes L.</cp:lastModifiedBy>
  <dcterms:created xsi:type="dcterms:W3CDTF">2026-03-29T16:53:29Z</dcterms:created>
  <dcterms:modified xsi:type="dcterms:W3CDTF">2026-03-29T21:02:50Z</dcterms:modified>
</cp:coreProperties>
</file>